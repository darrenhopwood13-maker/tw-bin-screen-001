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ke-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62" customWidth="1" min="2" max="2"/>
    <col width="10" customWidth="1" min="3" max="3"/>
    <col width="8" customWidth="1" min="4" max="4"/>
    <col width="10" customWidth="1" min="5" max="5"/>
    <col width="12" customWidth="1" min="6" max="6"/>
    <col width="52" customWidth="1" min="7" max="7"/>
  </cols>
  <sheetData>
    <row r="1">
      <c r="A1" s="1" t="inlineStr">
        <is>
          <t>TW-BINS-001 rev P01 - priced build sheet</t>
        </is>
      </c>
    </row>
    <row r="2">
      <c r="A2" t="inlineStr">
        <is>
          <t>4 October 2026</t>
        </is>
      </c>
    </row>
    <row r="3">
      <c r="A3" s="2" t="inlineStr">
        <is>
          <t>Indicative UK supply rates, 4 Oct 2026, C24 treated softwood from a merchant, delivered. Excludes overheads, profit, prelims, plant hire, waste removal, design fees and the temporary works check.</t>
        </is>
      </c>
    </row>
    <row r="4"/>
    <row r="6">
      <c r="A6" s="3" t="inlineStr">
        <is>
          <t>Section</t>
        </is>
      </c>
      <c r="B6" s="3" t="inlineStr">
        <is>
          <t>Description</t>
        </is>
      </c>
      <c r="C6" s="3" t="inlineStr">
        <is>
          <t>Quantity</t>
        </is>
      </c>
      <c r="D6" s="3" t="inlineStr">
        <is>
          <t>Unit</t>
        </is>
      </c>
      <c r="E6" s="3" t="inlineStr">
        <is>
          <t>Rate GBP</t>
        </is>
      </c>
      <c r="F6" s="3" t="inlineStr">
        <is>
          <t>Amount GBP</t>
        </is>
      </c>
      <c r="G6" s="3" t="inlineStr">
        <is>
          <t>Note</t>
        </is>
      </c>
    </row>
    <row r="7">
      <c r="A7" t="inlineStr">
        <is>
          <t>A. TIMBER</t>
        </is>
      </c>
      <c r="B7" t="inlineStr">
        <is>
          <t>Post 75 x 225 C24 treated, 2.40 m long</t>
        </is>
      </c>
      <c r="C7" t="n">
        <v>7</v>
      </c>
      <c r="D7" t="inlineStr">
        <is>
          <t>no</t>
        </is>
      </c>
      <c r="E7" s="4" t="n">
        <v>27.5</v>
      </c>
      <c r="F7" s="4">
        <f>C7*E7</f>
        <v/>
      </c>
      <c r="G7" s="5" t="inlineStr">
        <is>
          <t>6 required + 1 waste. 4 to the front run, 2 at the return ends</t>
        </is>
      </c>
    </row>
    <row r="8">
      <c r="A8" t="inlineStr">
        <is>
          <t>A. TIMBER</t>
        </is>
      </c>
      <c r="B8" t="inlineStr">
        <is>
          <t>Rail 100 x 75 C24 treated, laid flat</t>
        </is>
      </c>
      <c r="C8" t="n">
        <v>27.7</v>
      </c>
      <c r="D8" t="inlineStr">
        <is>
          <t>m</t>
        </is>
      </c>
      <c r="E8" s="4" t="n">
        <v>8.199999999999999</v>
      </c>
      <c r="F8" s="4">
        <f>C8*E8</f>
        <v/>
      </c>
      <c r="G8" s="5" t="inlineStr">
        <is>
          <t>25.2 m measured (3 levels: 18.0 m front + 7.2 m returns) + 10% waste</t>
        </is>
      </c>
    </row>
    <row r="9">
      <c r="A9" t="inlineStr">
        <is>
          <t>A. TIMBER</t>
        </is>
      </c>
      <c r="B9" t="inlineStr">
        <is>
          <t>Gate frame 75 x 50 C24 treated</t>
        </is>
      </c>
      <c r="C9" t="n">
        <v>9</v>
      </c>
      <c r="D9" t="inlineStr">
        <is>
          <t>m</t>
        </is>
      </c>
      <c r="E9" s="4" t="n">
        <v>4.2</v>
      </c>
      <c r="F9" s="4">
        <f>C9*E9</f>
        <v/>
      </c>
      <c r="G9" s="5" t="inlineStr">
        <is>
          <t>2 stiles 2.10, 2 rails 1.20, 1 diagonal brace 2.40 = 9.0 m</t>
        </is>
      </c>
    </row>
    <row r="10">
      <c r="A10" t="inlineStr">
        <is>
          <t>B. BOARDING</t>
        </is>
      </c>
      <c r="B10" t="inlineStr">
        <is>
          <t>18 mm OSB/3 sheet 2440 x 1220</t>
        </is>
      </c>
      <c r="C10" t="n">
        <v>9</v>
      </c>
      <c r="D10" t="inlineStr">
        <is>
          <t>sheet</t>
        </is>
      </c>
      <c r="E10" s="4" t="n">
        <v>29.5</v>
      </c>
      <c r="F10" s="4">
        <f>C10*E10</f>
        <v/>
      </c>
      <c r="G10" s="5" t="inlineStr">
        <is>
          <t>5 front run + 2 returns + 1 gate leaf + 1 waste</t>
        </is>
      </c>
    </row>
    <row r="11">
      <c r="A11" t="inlineStr">
        <is>
          <t>C. FIXINGS</t>
        </is>
      </c>
      <c r="B11" t="inlineStr">
        <is>
          <t>Screw 5.0 x 100, rail to post</t>
        </is>
      </c>
      <c r="C11" t="n">
        <v>200</v>
      </c>
      <c r="D11" t="inlineStr">
        <is>
          <t>no</t>
        </is>
      </c>
      <c r="E11" s="4" t="n">
        <v>0.23</v>
      </c>
      <c r="F11" s="4">
        <f>C11*E11</f>
        <v/>
      </c>
      <c r="G11" s="5" t="inlineStr">
        <is>
          <t>About 60 to the rails at 4 per connection + 112 boards to rails</t>
        </is>
      </c>
    </row>
    <row r="12">
      <c r="A12" t="inlineStr">
        <is>
          <t>C. FIXINGS</t>
        </is>
      </c>
      <c r="B12" t="inlineStr">
        <is>
          <t>Screw 4.0 x 50, board to rail and gate</t>
        </is>
      </c>
      <c r="C12" t="n">
        <v>100</v>
      </c>
      <c r="D12" t="inlineStr">
        <is>
          <t>no</t>
        </is>
      </c>
      <c r="E12" s="4" t="n">
        <v>0.095</v>
      </c>
      <c r="F12" s="4">
        <f>C12*E12</f>
        <v/>
      </c>
      <c r="G12" s="5" t="inlineStr">
        <is>
          <t>Boards to rails and the gate frame</t>
        </is>
      </c>
    </row>
    <row r="13">
      <c r="A13" t="inlineStr">
        <is>
          <t>C. FIXINGS</t>
        </is>
      </c>
      <c r="B13" t="inlineStr">
        <is>
          <t>Tee hinge, galvanised, 300 mm</t>
        </is>
      </c>
      <c r="C13" t="n">
        <v>1</v>
      </c>
      <c r="D13" t="inlineStr">
        <is>
          <t>pair</t>
        </is>
      </c>
      <c r="E13" s="4" t="n">
        <v>29</v>
      </c>
      <c r="F13" s="4">
        <f>C13*E13</f>
        <v/>
      </c>
      <c r="G13" s="5" t="inlineStr">
        <is>
          <t>Gate leaf, hung on post P2</t>
        </is>
      </c>
    </row>
    <row r="14">
      <c r="A14" t="inlineStr">
        <is>
          <t>C. FIXINGS</t>
        </is>
      </c>
      <c r="B14" t="inlineStr">
        <is>
          <t>Sliding bolt, galvanised, 150 mm</t>
        </is>
      </c>
      <c r="C14" t="n">
        <v>1</v>
      </c>
      <c r="D14" t="inlineStr">
        <is>
          <t>no</t>
        </is>
      </c>
      <c r="E14" s="4" t="n">
        <v>13.5</v>
      </c>
      <c r="F14" s="4">
        <f>C14*E14</f>
        <v/>
      </c>
      <c r="G14" s="5" t="inlineStr">
        <is>
          <t>Gate leaf, keep on post P3</t>
        </is>
      </c>
    </row>
    <row r="15">
      <c r="A15" t="inlineStr">
        <is>
          <t>D. GROUNDWORKS</t>
        </is>
      </c>
      <c r="B15" t="inlineStr">
        <is>
          <t>Break out and excavate 400 mm dia x 900 mm deep, through tarmac</t>
        </is>
      </c>
      <c r="C15" t="n">
        <v>6</v>
      </c>
      <c r="D15" t="inlineStr">
        <is>
          <t>hole</t>
        </is>
      </c>
      <c r="E15" s="4" t="n">
        <v>48</v>
      </c>
      <c r="F15" s="4">
        <f>C15*E15</f>
        <v/>
      </c>
      <c r="G15" s="5" t="inlineStr">
        <is>
          <t>Hand dig and break out. CAT scan and service check assumed done separately</t>
        </is>
      </c>
    </row>
    <row r="16">
      <c r="A16" t="inlineStr">
        <is>
          <t>D. GROUNDWORKS</t>
        </is>
      </c>
      <c r="B16" t="inlineStr">
        <is>
          <t>Mass concrete C20/25, placed full depth</t>
        </is>
      </c>
      <c r="C16" t="n">
        <v>0.71</v>
      </c>
      <c r="D16" t="inlineStr">
        <is>
          <t>m3</t>
        </is>
      </c>
      <c r="E16" s="4" t="n">
        <v>148</v>
      </c>
      <c r="F16" s="4">
        <f>C16*E16</f>
        <v/>
      </c>
      <c r="G16" s="5" t="inlineStr">
        <is>
          <t>0.113 m3 per hole x 6 = 0.68 m3 + 5%</t>
        </is>
      </c>
    </row>
    <row r="17">
      <c r="A17" t="inlineStr">
        <is>
          <t>D. GROUNDWORKS</t>
        </is>
      </c>
      <c r="B17" t="inlineStr">
        <is>
          <t>Tarmac reinstatement around each post</t>
        </is>
      </c>
      <c r="C17" t="n">
        <v>6</v>
      </c>
      <c r="D17" t="inlineStr">
        <is>
          <t>hole</t>
        </is>
      </c>
      <c r="E17" s="4" t="n">
        <v>42</v>
      </c>
      <c r="F17" s="4">
        <f>C17*E17</f>
        <v/>
      </c>
      <c r="G17" s="5" t="inlineStr">
        <is>
          <t>About 0.4 m2 per hole. CONFIRM the surface may be broken - open input</t>
        </is>
      </c>
    </row>
    <row r="18">
      <c r="A18" t="inlineStr">
        <is>
          <t>E. SUNDRIES</t>
        </is>
      </c>
      <c r="B18" t="inlineStr">
        <is>
          <t>Sealant, washers, cutting, general consumables</t>
        </is>
      </c>
      <c r="C18" t="n">
        <v>1</v>
      </c>
      <c r="D18" t="inlineStr">
        <is>
          <t>item</t>
        </is>
      </c>
      <c r="E18" s="4" t="n">
        <v>65</v>
      </c>
      <c r="F18" s="4">
        <f>C18*E18</f>
        <v/>
      </c>
      <c r="G18" s="5" t="inlineStr">
        <is>
          <t>Allowance</t>
        </is>
      </c>
    </row>
    <row r="19">
      <c r="A19" t="inlineStr">
        <is>
          <t>F. LABOUR</t>
        </is>
      </c>
      <c r="B19" t="inlineStr">
        <is>
          <t>Carpenter, erecting</t>
        </is>
      </c>
      <c r="C19" t="n">
        <v>3</v>
      </c>
      <c r="D19" t="inlineStr">
        <is>
          <t>day</t>
        </is>
      </c>
      <c r="E19" s="4" t="n">
        <v>245</v>
      </c>
      <c r="F19" s="4">
        <f>C19*E19</f>
        <v/>
      </c>
      <c r="G19" s="5" t="inlineStr">
        <is>
          <t>2 carpenters x 1.5 days: set out, posts, rails, facing, gate</t>
        </is>
      </c>
    </row>
    <row r="20">
      <c r="A20" t="inlineStr">
        <is>
          <t>F. LABOUR</t>
        </is>
      </c>
      <c r="B20" t="inlineStr">
        <is>
          <t>General labourer</t>
        </is>
      </c>
      <c r="C20" t="n">
        <v>1</v>
      </c>
      <c r="D20" t="inlineStr">
        <is>
          <t>day</t>
        </is>
      </c>
      <c r="E20" s="4" t="n">
        <v>185</v>
      </c>
      <c r="F20" s="4">
        <f>C20*E20</f>
        <v/>
      </c>
      <c r="G20" s="5" t="inlineStr">
        <is>
          <t>Assisting and clearing</t>
        </is>
      </c>
    </row>
    <row r="21">
      <c r="B21" s="6" t="inlineStr">
        <is>
          <t>Materials and groundworks</t>
        </is>
      </c>
      <c r="F21" s="4" t="n">
        <v>1531.02</v>
      </c>
    </row>
    <row r="22">
      <c r="B22" s="6" t="inlineStr">
        <is>
          <t>Labour</t>
        </is>
      </c>
      <c r="F22" s="4" t="n">
        <v>920</v>
      </c>
    </row>
    <row r="23">
      <c r="B23" s="6" t="inlineStr">
        <is>
          <t>TOTAL excl. OH&amp;P, prelims</t>
        </is>
      </c>
      <c r="F23" s="4" t="n">
        <v>2451.02</v>
      </c>
    </row>
    <row r="24">
      <c r="B24" s="6" t="inlineStr">
        <is>
          <t>Rate per metre (8.40 m)</t>
        </is>
      </c>
      <c r="F24" s="4" t="n">
        <v>291.79</v>
      </c>
    </row>
  </sheetData>
  <mergeCells count="1">
    <mergeCell ref="A3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2026-10-04T14:54:16Z</dcterms:created>
  <dcterms:modified xmlns:dcterms="http://purl.org/dc/terms/" xmlns:xsi="http://www.w3.org/2001/XMLSchema-instance" xsi:type="dcterms:W3CDTF">2026-10-04T14:54:16Z</dcterms:modified>
</cp:coreProperties>
</file>